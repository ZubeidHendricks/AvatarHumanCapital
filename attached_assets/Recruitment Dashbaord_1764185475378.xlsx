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295eca6a4548f/Documents/Rimon (Pty) Ltd/Investments/D8tavision/"/>
    </mc:Choice>
  </mc:AlternateContent>
  <xr:revisionPtr revIDLastSave="28" documentId="8_{214B00A4-2B7A-44FD-86AA-DC1AA9E71E2F}" xr6:coauthVersionLast="47" xr6:coauthVersionMax="47" xr10:uidLastSave="{3A48AA4C-C849-43E4-843F-9A0D71D5F333}"/>
  <bookViews>
    <workbookView xWindow="-120" yWindow="-120" windowWidth="29040" windowHeight="15720" xr2:uid="{BD9DAAC1-36E9-47DF-8CC6-FA081FBA157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" i="1" l="1"/>
  <c r="AC14" i="1"/>
  <c r="Z12" i="1"/>
  <c r="AA4" i="1"/>
  <c r="AB4" i="1"/>
  <c r="AC4" i="1"/>
  <c r="AD4" i="1"/>
  <c r="AE4" i="1"/>
  <c r="AF4" i="1"/>
  <c r="AG4" i="1"/>
  <c r="AH4" i="1"/>
  <c r="AI4" i="1"/>
  <c r="AJ4" i="1"/>
  <c r="AK4" i="1"/>
  <c r="Z4" i="1"/>
</calcChain>
</file>

<file path=xl/sharedStrings.xml><?xml version="1.0" encoding="utf-8"?>
<sst xmlns="http://schemas.openxmlformats.org/spreadsheetml/2006/main" count="19" uniqueCount="17">
  <si>
    <t>Placements</t>
  </si>
  <si>
    <t>Revenue</t>
  </si>
  <si>
    <t>Ave Rev</t>
  </si>
  <si>
    <t>On Track</t>
  </si>
  <si>
    <t>At Risk</t>
  </si>
  <si>
    <t>Lost</t>
  </si>
  <si>
    <t>Completed</t>
  </si>
  <si>
    <t>Job Search Health</t>
  </si>
  <si>
    <t>Total</t>
  </si>
  <si>
    <t>Talent Pipeline</t>
  </si>
  <si>
    <t>Screening</t>
  </si>
  <si>
    <t>Shortlisted</t>
  </si>
  <si>
    <t>Interview</t>
  </si>
  <si>
    <t>Offer</t>
  </si>
  <si>
    <t>Hired</t>
  </si>
  <si>
    <t xml:space="preserve">Lost </t>
  </si>
  <si>
    <t>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</si>
</sst>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165" fontId="0" fillId="0" borderId="8" xfId="1" applyNumberFormat="1" applyFont="1" applyBorder="1"/>
    <xf numFmtId="165" fontId="0" fillId="0" borderId="5" xfId="1" applyNumberFormat="1" applyFont="1" applyBorder="1"/>
    <xf numFmtId="0" fontId="2" fillId="0" borderId="9" xfId="0" applyFont="1" applyBorder="1"/>
    <xf numFmtId="17" fontId="2" fillId="0" borderId="10" xfId="0" applyNumberFormat="1" applyFont="1" applyBorder="1"/>
    <xf numFmtId="17" fontId="2" fillId="0" borderId="11" xfId="0" applyNumberFormat="1" applyFont="1" applyBorder="1"/>
    <xf numFmtId="0" fontId="2" fillId="0" borderId="11" xfId="0" applyFont="1" applyBorder="1"/>
    <xf numFmtId="43" fontId="0" fillId="0" borderId="4" xfId="1" applyFont="1" applyBorder="1"/>
    <xf numFmtId="165" fontId="0" fillId="0" borderId="4" xfId="1" applyNumberFormat="1" applyFont="1" applyBorder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Financial Perfomance</a:t>
            </a:r>
          </a:p>
        </c:rich>
      </c:tx>
      <c:layout>
        <c:manualLayout>
          <c:xMode val="edge"/>
          <c:yMode val="edge"/>
          <c:x val="1.063180366050011E-2"/>
          <c:y val="1.3888815737497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15376584266112E-2"/>
          <c:y val="0.16187554680664915"/>
          <c:w val="0.89080100328187983"/>
          <c:h val="0.73109543598716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Placements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Sheet1!$Z$2:$AK$2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Sheet1!$Z$3:$AK$3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1-4A54-9C51-237F55EA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16168480"/>
        <c:axId val="1616165120"/>
      </c:barChart>
      <c:lineChart>
        <c:grouping val="standard"/>
        <c:varyColors val="0"/>
        <c:ser>
          <c:idx val="1"/>
          <c:order val="1"/>
          <c:tx>
            <c:strRef>
              <c:f>Sheet1!$Y$4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Sheet1!$Z$2:$AK$2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Sheet1!$Z$4:$AK$4</c:f>
              <c:numCache>
                <c:formatCode>_-* #\ ##0_-;\-* #\ ##0_-;_-* "-"??_-;_-@_-</c:formatCode>
                <c:ptCount val="12"/>
                <c:pt idx="0">
                  <c:v>100000</c:v>
                </c:pt>
                <c:pt idx="1">
                  <c:v>150000</c:v>
                </c:pt>
                <c:pt idx="2">
                  <c:v>90000</c:v>
                </c:pt>
                <c:pt idx="3">
                  <c:v>40000</c:v>
                </c:pt>
                <c:pt idx="4">
                  <c:v>112500</c:v>
                </c:pt>
                <c:pt idx="5">
                  <c:v>245000</c:v>
                </c:pt>
                <c:pt idx="6">
                  <c:v>240000</c:v>
                </c:pt>
                <c:pt idx="7">
                  <c:v>140000</c:v>
                </c:pt>
                <c:pt idx="8">
                  <c:v>125000</c:v>
                </c:pt>
                <c:pt idx="9">
                  <c:v>156000</c:v>
                </c:pt>
                <c:pt idx="10">
                  <c:v>196000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1-4A54-9C51-237F55EA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153600"/>
        <c:axId val="1616154080"/>
      </c:lineChart>
      <c:dateAx>
        <c:axId val="16161536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54080"/>
        <c:crosses val="autoZero"/>
        <c:auto val="1"/>
        <c:lblOffset val="100"/>
        <c:baseTimeUnit val="months"/>
      </c:dateAx>
      <c:valAx>
        <c:axId val="16161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5360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2437676922016234E-2"/>
                <c:y val="0.15295710109814867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16165120"/>
        <c:scaling>
          <c:orientation val="minMax"/>
          <c:max val="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68480"/>
        <c:crosses val="max"/>
        <c:crossBetween val="between"/>
      </c:valAx>
      <c:dateAx>
        <c:axId val="161616848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1616512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806078302712161"/>
          <c:y val="2.8194444444444459E-2"/>
          <c:w val="0.4056255329415043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job</a:t>
            </a:r>
            <a:r>
              <a:rPr lang="en-ZA" baseline="0"/>
              <a:t> search health</a:t>
            </a:r>
            <a:endParaRPr lang="en-ZA"/>
          </a:p>
        </c:rich>
      </c:tx>
      <c:layout>
        <c:manualLayout>
          <c:xMode val="edge"/>
          <c:yMode val="edge"/>
          <c:x val="2.509011373578305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86351706036747"/>
          <c:y val="0.1064326334208224"/>
          <c:w val="0.61636277083011681"/>
          <c:h val="0.831325510279514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Sheet1!$Y$8:$Y$11</c:f>
              <c:strCache>
                <c:ptCount val="4"/>
                <c:pt idx="0">
                  <c:v>On Track</c:v>
                </c:pt>
                <c:pt idx="1">
                  <c:v>At Risk</c:v>
                </c:pt>
                <c:pt idx="2">
                  <c:v>Lost</c:v>
                </c:pt>
                <c:pt idx="3">
                  <c:v>Completed</c:v>
                </c:pt>
              </c:strCache>
            </c:strRef>
          </c:cat>
          <c:val>
            <c:numRef>
              <c:f>Sheet1!$Z$8:$Z$11</c:f>
              <c:numCache>
                <c:formatCode>General</c:formatCode>
                <c:ptCount val="4"/>
                <c:pt idx="0">
                  <c:v>90</c:v>
                </c:pt>
                <c:pt idx="1">
                  <c:v>5</c:v>
                </c:pt>
                <c:pt idx="2">
                  <c:v>24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9-4BFB-9A24-2AE2994344D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275796407801965E-2"/>
          <c:y val="0.20359566213084992"/>
          <c:w val="0.21284030672636511"/>
          <c:h val="0.57646642318726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Talen</a:t>
            </a:r>
            <a:r>
              <a:rPr lang="en-ZA" b="1" baseline="0"/>
              <a:t>t Pipeline</a:t>
            </a:r>
            <a:endParaRPr lang="en-ZA" b="1"/>
          </a:p>
        </c:rich>
      </c:tx>
      <c:layout>
        <c:manualLayout>
          <c:xMode val="edge"/>
          <c:yMode val="edge"/>
          <c:x val="1.5284558180227491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Sheet1!$AB$8:$AB$13</c:f>
              <c:strCache>
                <c:ptCount val="6"/>
                <c:pt idx="0">
                  <c:v>Hired</c:v>
                </c:pt>
                <c:pt idx="1">
                  <c:v>Offer</c:v>
                </c:pt>
                <c:pt idx="2">
                  <c:v>Lost </c:v>
                </c:pt>
                <c:pt idx="3">
                  <c:v>Interview</c:v>
                </c:pt>
                <c:pt idx="4">
                  <c:v>Shortlisted</c:v>
                </c:pt>
                <c:pt idx="5">
                  <c:v>Screening</c:v>
                </c:pt>
              </c:strCache>
            </c:strRef>
          </c:cat>
          <c:val>
            <c:numRef>
              <c:f>Sheet1!$AC$8:$AC$13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24</c:v>
                </c:pt>
                <c:pt idx="3">
                  <c:v>10</c:v>
                </c:pt>
                <c:pt idx="4">
                  <c:v>65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2-431C-BEFA-7E07730C0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16191520"/>
        <c:axId val="1616197760"/>
      </c:barChart>
      <c:catAx>
        <c:axId val="161619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97760"/>
        <c:crosses val="autoZero"/>
        <c:auto val="1"/>
        <c:lblAlgn val="ctr"/>
        <c:lblOffset val="100"/>
        <c:noMultiLvlLbl val="0"/>
      </c:catAx>
      <c:valAx>
        <c:axId val="1616197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619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Fit Scores</a:t>
            </a:r>
          </a:p>
        </c:rich>
      </c:tx>
      <c:layout>
        <c:manualLayout>
          <c:xMode val="edge"/>
          <c:yMode val="edge"/>
          <c:x val="1.4919294508476306E-2"/>
          <c:y val="2.822222222222222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'[1]Candidate Data'!$B$1</c:f>
              <c:strCache>
                <c:ptCount val="1"/>
                <c:pt idx="0">
                  <c:v>Fit 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'[1]Candidate Data'!$A$2:$A$26</c:f>
              <c:strCache>
                <c:ptCount val="2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  <c:pt idx="12">
                  <c:v>C13</c:v>
                </c:pt>
                <c:pt idx="13">
                  <c:v>C14</c:v>
                </c:pt>
                <c:pt idx="14">
                  <c:v>C15</c:v>
                </c:pt>
                <c:pt idx="15">
                  <c:v>C16</c:v>
                </c:pt>
                <c:pt idx="16">
                  <c:v>C17</c:v>
                </c:pt>
                <c:pt idx="17">
                  <c:v>C18</c:v>
                </c:pt>
                <c:pt idx="18">
                  <c:v>C19</c:v>
                </c:pt>
                <c:pt idx="19">
                  <c:v>C20</c:v>
                </c:pt>
                <c:pt idx="20">
                  <c:v>C21</c:v>
                </c:pt>
                <c:pt idx="21">
                  <c:v>C22</c:v>
                </c:pt>
                <c:pt idx="22">
                  <c:v>C23</c:v>
                </c:pt>
                <c:pt idx="23">
                  <c:v>C24</c:v>
                </c:pt>
                <c:pt idx="24">
                  <c:v>C25</c:v>
                </c:pt>
              </c:strCache>
            </c:strRef>
          </c:cat>
          <c:val>
            <c:numRef>
              <c:f>'[1]Candidate Data'!$B$2:$B$26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0-4B84-A52F-D23916E39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372107472073241"/>
          <c:y val="0.5245818518518518"/>
          <c:w val="0.16695525378168308"/>
          <c:h val="8.505666666666666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Employer Type Share</a:t>
            </a:r>
          </a:p>
        </c:rich>
      </c:tx>
      <c:layout>
        <c:manualLayout>
          <c:xMode val="edge"/>
          <c:yMode val="edge"/>
          <c:x val="1.4618974925412866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[1]Dashboard!$H$3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[1]Dashboard!$G$4:$G$20</c:f>
              <c:strCache>
                <c:ptCount val="17"/>
                <c:pt idx="0">
                  <c:v>Tool &amp; Machinery Retail</c:v>
                </c:pt>
                <c:pt idx="1">
                  <c:v>Hardware Retail</c:v>
                </c:pt>
                <c:pt idx="2">
                  <c:v>Tool Retail</c:v>
                </c:pt>
                <c:pt idx="3">
                  <c:v>Machinery Retail</c:v>
                </c:pt>
                <c:pt idx="4">
                  <c:v>Engineering Supply</c:v>
                </c:pt>
                <c:pt idx="5">
                  <c:v>Industrial Supply</c:v>
                </c:pt>
                <c:pt idx="6">
                  <c:v>Engineering Supplier</c:v>
                </c:pt>
                <c:pt idx="7">
                  <c:v>Industrial Tools Distributor</c:v>
                </c:pt>
                <c:pt idx="8">
                  <c:v>Industrial Supplier</c:v>
                </c:pt>
                <c:pt idx="9">
                  <c:v>Auto Spares Retail</c:v>
                </c:pt>
                <c:pt idx="10">
                  <c:v>Auto Spares</c:v>
                </c:pt>
                <c:pt idx="11">
                  <c:v>Auto Electrical</c:v>
                </c:pt>
                <c:pt idx="12">
                  <c:v>DIY Retail</c:v>
                </c:pt>
                <c:pt idx="13">
                  <c:v>Workshop/Repairs</c:v>
                </c:pt>
                <c:pt idx="14">
                  <c:v>Machinery Repairs</c:v>
                </c:pt>
                <c:pt idx="15">
                  <c:v>Repairs Center</c:v>
                </c:pt>
                <c:pt idx="16">
                  <c:v>Retail Service</c:v>
                </c:pt>
              </c:strCache>
            </c:strRef>
          </c:cat>
          <c:val>
            <c:numRef>
              <c:f>[1]Dashboard!$H$4:$H$20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8-415A-BDBB-08D507558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5728147375817514"/>
          <c:y val="0.18518296296296297"/>
          <c:w val="0.32306250151547433"/>
          <c:h val="0.74238148148148142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Matching</a:t>
            </a:r>
          </a:p>
        </c:rich>
      </c:tx>
      <c:layout>
        <c:manualLayout>
          <c:xMode val="edge"/>
          <c:yMode val="edge"/>
          <c:x val="3.131233595800522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Sheet1!$Z$18:$Z$23</c:f>
              <c:numCache>
                <c:formatCode>_-* #\ ##0_-;\-* #\ ##0_-;_-* "-"??_-;_-@_-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Sheet1!$AA$18:$AA$23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30</c:v>
                </c:pt>
                <c:pt idx="3">
                  <c:v>92</c:v>
                </c:pt>
                <c:pt idx="4">
                  <c:v>152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1-4F68-B5A1-6454E23F6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16184800"/>
        <c:axId val="1616185280"/>
      </c:barChart>
      <c:catAx>
        <c:axId val="1616184800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85280"/>
        <c:crosses val="autoZero"/>
        <c:auto val="1"/>
        <c:lblAlgn val="ctr"/>
        <c:lblOffset val="100"/>
        <c:noMultiLvlLbl val="0"/>
      </c:catAx>
      <c:valAx>
        <c:axId val="1616185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618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0</xdr:rowOff>
    </xdr:from>
    <xdr:to>
      <xdr:col>4</xdr:col>
      <xdr:colOff>161925</xdr:colOff>
      <xdr:row>4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12E275-7B56-9E06-2A29-299E95053204}"/>
            </a:ext>
          </a:extLst>
        </xdr:cNvPr>
        <xdr:cNvSpPr/>
      </xdr:nvSpPr>
      <xdr:spPr>
        <a:xfrm>
          <a:off x="704850" y="190500"/>
          <a:ext cx="189547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Total</a:t>
          </a:r>
          <a:r>
            <a:rPr lang="en-ZA" sz="1100" baseline="0"/>
            <a:t> Revenue YTD</a:t>
          </a:r>
        </a:p>
        <a:p>
          <a:pPr algn="l"/>
          <a:r>
            <a:rPr lang="en-ZA" sz="1800" baseline="0"/>
            <a:t>R2.56m</a:t>
          </a:r>
          <a:endParaRPr lang="en-ZA" sz="1800"/>
        </a:p>
      </xdr:txBody>
    </xdr:sp>
    <xdr:clientData/>
  </xdr:twoCellAnchor>
  <xdr:twoCellAnchor>
    <xdr:from>
      <xdr:col>4</xdr:col>
      <xdr:colOff>285750</xdr:colOff>
      <xdr:row>1</xdr:row>
      <xdr:rowOff>0</xdr:rowOff>
    </xdr:from>
    <xdr:to>
      <xdr:col>7</xdr:col>
      <xdr:colOff>352425</xdr:colOff>
      <xdr:row>4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A49DFC-F9C0-402F-B0FA-5DB3AF58E8F3}"/>
            </a:ext>
          </a:extLst>
        </xdr:cNvPr>
        <xdr:cNvSpPr/>
      </xdr:nvSpPr>
      <xdr:spPr>
        <a:xfrm>
          <a:off x="2724150" y="190500"/>
          <a:ext cx="189547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Active Job Searches</a:t>
          </a:r>
          <a:endParaRPr lang="en-ZA" sz="1100" baseline="0"/>
        </a:p>
        <a:p>
          <a:pPr algn="l"/>
          <a:r>
            <a:rPr lang="en-ZA" sz="1800" baseline="0"/>
            <a:t>125</a:t>
          </a:r>
          <a:endParaRPr lang="en-ZA" sz="1800"/>
        </a:p>
      </xdr:txBody>
    </xdr:sp>
    <xdr:clientData/>
  </xdr:twoCellAnchor>
  <xdr:twoCellAnchor>
    <xdr:from>
      <xdr:col>7</xdr:col>
      <xdr:colOff>504825</xdr:colOff>
      <xdr:row>1</xdr:row>
      <xdr:rowOff>9525</xdr:rowOff>
    </xdr:from>
    <xdr:to>
      <xdr:col>10</xdr:col>
      <xdr:colOff>571500</xdr:colOff>
      <xdr:row>4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4AFEF51-01FC-43F3-87EB-6DECC1FCB8F6}"/>
            </a:ext>
          </a:extLst>
        </xdr:cNvPr>
        <xdr:cNvSpPr/>
      </xdr:nvSpPr>
      <xdr:spPr>
        <a:xfrm>
          <a:off x="4772025" y="200025"/>
          <a:ext cx="189547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Total</a:t>
          </a:r>
          <a:r>
            <a:rPr lang="en-ZA" sz="1100" baseline="0"/>
            <a:t> Candidates</a:t>
          </a:r>
        </a:p>
        <a:p>
          <a:pPr algn="l"/>
          <a:r>
            <a:rPr lang="en-ZA" sz="1800" baseline="0"/>
            <a:t>165</a:t>
          </a:r>
          <a:endParaRPr lang="en-ZA" sz="1800"/>
        </a:p>
      </xdr:txBody>
    </xdr:sp>
    <xdr:clientData/>
  </xdr:twoCellAnchor>
  <xdr:twoCellAnchor>
    <xdr:from>
      <xdr:col>14</xdr:col>
      <xdr:colOff>257175</xdr:colOff>
      <xdr:row>1</xdr:row>
      <xdr:rowOff>19050</xdr:rowOff>
    </xdr:from>
    <xdr:to>
      <xdr:col>17</xdr:col>
      <xdr:colOff>323850</xdr:colOff>
      <xdr:row>4</xdr:row>
      <xdr:rowOff>66675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DC6AAC-1D1A-41BB-8C80-D83FB8B6ABD7}"/>
            </a:ext>
          </a:extLst>
        </xdr:cNvPr>
        <xdr:cNvSpPr/>
      </xdr:nvSpPr>
      <xdr:spPr>
        <a:xfrm>
          <a:off x="8791575" y="209550"/>
          <a:ext cx="189547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Total</a:t>
          </a:r>
          <a:r>
            <a:rPr lang="en-ZA" sz="1100" baseline="0"/>
            <a:t> Placements</a:t>
          </a:r>
        </a:p>
        <a:p>
          <a:pPr algn="l"/>
          <a:r>
            <a:rPr lang="en-ZA" sz="1800" baseline="0"/>
            <a:t>24</a:t>
          </a:r>
          <a:endParaRPr lang="en-ZA" sz="1800"/>
        </a:p>
      </xdr:txBody>
    </xdr:sp>
    <xdr:clientData/>
  </xdr:twoCellAnchor>
  <xdr:twoCellAnchor>
    <xdr:from>
      <xdr:col>11</xdr:col>
      <xdr:colOff>57150</xdr:colOff>
      <xdr:row>1</xdr:row>
      <xdr:rowOff>9525</xdr:rowOff>
    </xdr:from>
    <xdr:to>
      <xdr:col>14</xdr:col>
      <xdr:colOff>123825</xdr:colOff>
      <xdr:row>4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3331B3D-63F8-4B85-94C3-C944A42FF56D}"/>
            </a:ext>
          </a:extLst>
        </xdr:cNvPr>
        <xdr:cNvSpPr/>
      </xdr:nvSpPr>
      <xdr:spPr>
        <a:xfrm>
          <a:off x="6762750" y="200025"/>
          <a:ext cx="189547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Total</a:t>
          </a:r>
          <a:r>
            <a:rPr lang="en-ZA" sz="1100" baseline="0"/>
            <a:t> shortlisted</a:t>
          </a:r>
        </a:p>
        <a:p>
          <a:pPr algn="l"/>
          <a:r>
            <a:rPr lang="en-ZA" sz="1800" baseline="0"/>
            <a:t>65</a:t>
          </a:r>
          <a:endParaRPr lang="en-ZA" sz="1800"/>
        </a:p>
      </xdr:txBody>
    </xdr:sp>
    <xdr:clientData/>
  </xdr:twoCellAnchor>
  <xdr:twoCellAnchor>
    <xdr:from>
      <xdr:col>1</xdr:col>
      <xdr:colOff>57149</xdr:colOff>
      <xdr:row>5</xdr:row>
      <xdr:rowOff>0</xdr:rowOff>
    </xdr:from>
    <xdr:to>
      <xdr:col>14</xdr:col>
      <xdr:colOff>95250</xdr:colOff>
      <xdr:row>20</xdr:row>
      <xdr:rowOff>178772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C3842A-3EAB-26D7-CA3D-6EE8ECAF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238125</xdr:colOff>
      <xdr:row>4</xdr:row>
      <xdr:rowOff>176211</xdr:rowOff>
    </xdr:from>
    <xdr:to>
      <xdr:col>20</xdr:col>
      <xdr:colOff>466725</xdr:colOff>
      <xdr:row>21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91349E-DCED-AB7C-6C15-1881C4964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419100</xdr:colOff>
      <xdr:row>1</xdr:row>
      <xdr:rowOff>9525</xdr:rowOff>
    </xdr:from>
    <xdr:to>
      <xdr:col>20</xdr:col>
      <xdr:colOff>485775</xdr:colOff>
      <xdr:row>4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9B703C5-5DA3-4D31-97F0-F5885D93BF93}"/>
            </a:ext>
          </a:extLst>
        </xdr:cNvPr>
        <xdr:cNvSpPr/>
      </xdr:nvSpPr>
      <xdr:spPr>
        <a:xfrm>
          <a:off x="10782300" y="200025"/>
          <a:ext cx="189547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Total</a:t>
          </a:r>
          <a:r>
            <a:rPr lang="en-ZA" sz="1100" baseline="0"/>
            <a:t> Lost</a:t>
          </a:r>
        </a:p>
        <a:p>
          <a:pPr algn="l"/>
          <a:r>
            <a:rPr lang="en-ZA" sz="1800" baseline="0"/>
            <a:t>24</a:t>
          </a:r>
          <a:endParaRPr lang="en-ZA" sz="1800"/>
        </a:p>
      </xdr:txBody>
    </xdr:sp>
    <xdr:clientData/>
  </xdr:twoCellAnchor>
  <xdr:twoCellAnchor>
    <xdr:from>
      <xdr:col>17</xdr:col>
      <xdr:colOff>76201</xdr:colOff>
      <xdr:row>11</xdr:row>
      <xdr:rowOff>114300</xdr:rowOff>
    </xdr:from>
    <xdr:to>
      <xdr:col>18</xdr:col>
      <xdr:colOff>190500</xdr:colOff>
      <xdr:row>15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089A03-07E2-5BD7-621F-F8D3EBDE15B7}"/>
            </a:ext>
          </a:extLst>
        </xdr:cNvPr>
        <xdr:cNvSpPr txBox="1"/>
      </xdr:nvSpPr>
      <xdr:spPr>
        <a:xfrm>
          <a:off x="10439401" y="2209800"/>
          <a:ext cx="723899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600" b="1"/>
            <a:t>125 Jobs</a:t>
          </a:r>
        </a:p>
      </xdr:txBody>
    </xdr:sp>
    <xdr:clientData/>
  </xdr:twoCellAnchor>
  <xdr:twoCellAnchor>
    <xdr:from>
      <xdr:col>1</xdr:col>
      <xdr:colOff>85725</xdr:colOff>
      <xdr:row>21</xdr:row>
      <xdr:rowOff>80962</xdr:rowOff>
    </xdr:from>
    <xdr:to>
      <xdr:col>7</xdr:col>
      <xdr:colOff>285750</xdr:colOff>
      <xdr:row>35</xdr:row>
      <xdr:rowOff>157162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710B40-C309-4A73-3162-C45830E12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400050</xdr:colOff>
      <xdr:row>36</xdr:row>
      <xdr:rowOff>57150</xdr:rowOff>
    </xdr:from>
    <xdr:to>
      <xdr:col>14</xdr:col>
      <xdr:colOff>85725</xdr:colOff>
      <xdr:row>50</xdr:row>
      <xdr:rowOff>142875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3DBB221-51FB-904B-48D1-83F8C0CC2F11}"/>
            </a:ext>
          </a:extLst>
        </xdr:cNvPr>
        <xdr:cNvGrpSpPr/>
      </xdr:nvGrpSpPr>
      <xdr:grpSpPr>
        <a:xfrm>
          <a:off x="4667250" y="6972300"/>
          <a:ext cx="3952875" cy="2752725"/>
          <a:chOff x="4933950" y="4143375"/>
          <a:chExt cx="3669109" cy="275272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5B6E6542-F5BC-1DD4-2348-9972BA0BD8E6}"/>
              </a:ext>
            </a:extLst>
          </xdr:cNvPr>
          <xdr:cNvSpPr/>
        </xdr:nvSpPr>
        <xdr:spPr>
          <a:xfrm>
            <a:off x="4933950" y="4143375"/>
            <a:ext cx="3669109" cy="275272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400" b="1"/>
              <a:t>At</a:t>
            </a:r>
            <a:r>
              <a:rPr lang="en-ZA" sz="1400" b="1" baseline="0"/>
              <a:t> Risk</a:t>
            </a:r>
            <a:endParaRPr lang="en-ZA" sz="1400" b="1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B13DADBE-8F49-71AD-F2C0-FDBECFFD2A2E}"/>
              </a:ext>
            </a:extLst>
          </xdr:cNvPr>
          <xdr:cNvSpPr/>
        </xdr:nvSpPr>
        <xdr:spPr>
          <a:xfrm>
            <a:off x="5153025" y="4667250"/>
            <a:ext cx="3295650" cy="5143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0558B713-A50B-4CC5-A6CD-5ABFF74FE59F}"/>
              </a:ext>
            </a:extLst>
          </xdr:cNvPr>
          <xdr:cNvSpPr/>
        </xdr:nvSpPr>
        <xdr:spPr>
          <a:xfrm>
            <a:off x="5143500" y="5305425"/>
            <a:ext cx="3295650" cy="5048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9363DA32-424F-4A78-B65D-E600AA76B160}"/>
              </a:ext>
            </a:extLst>
          </xdr:cNvPr>
          <xdr:cNvSpPr/>
        </xdr:nvSpPr>
        <xdr:spPr>
          <a:xfrm>
            <a:off x="5153025" y="5953125"/>
            <a:ext cx="3295650" cy="5048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</xdr:grpSp>
    <xdr:clientData/>
  </xdr:twoCellAnchor>
  <xdr:twoCellAnchor>
    <xdr:from>
      <xdr:col>14</xdr:col>
      <xdr:colOff>238125</xdr:colOff>
      <xdr:row>36</xdr:row>
      <xdr:rowOff>66675</xdr:rowOff>
    </xdr:from>
    <xdr:to>
      <xdr:col>20</xdr:col>
      <xdr:colOff>542924</xdr:colOff>
      <xdr:row>50</xdr:row>
      <xdr:rowOff>152400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C1EF5C84-3E17-BD9A-9835-6276DE91EFDF}"/>
            </a:ext>
          </a:extLst>
        </xdr:cNvPr>
        <xdr:cNvGrpSpPr/>
      </xdr:nvGrpSpPr>
      <xdr:grpSpPr>
        <a:xfrm>
          <a:off x="8772525" y="6981825"/>
          <a:ext cx="3962399" cy="2752725"/>
          <a:chOff x="8772526" y="4143375"/>
          <a:chExt cx="3850084" cy="275272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8B085231-33F7-4139-B319-B87E480B4910}"/>
              </a:ext>
            </a:extLst>
          </xdr:cNvPr>
          <xdr:cNvSpPr/>
        </xdr:nvSpPr>
        <xdr:spPr>
          <a:xfrm>
            <a:off x="8772526" y="4143375"/>
            <a:ext cx="3850084" cy="275272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400" b="1"/>
              <a:t>Whatsapp</a:t>
            </a: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DAC17398-E15A-49D2-B27E-C7C63B7553D3}"/>
              </a:ext>
            </a:extLst>
          </xdr:cNvPr>
          <xdr:cNvSpPr/>
        </xdr:nvSpPr>
        <xdr:spPr>
          <a:xfrm>
            <a:off x="9039226" y="4629150"/>
            <a:ext cx="3295650" cy="514350"/>
          </a:xfrm>
          <a:prstGeom prst="round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F5C7919C-3E33-42BD-829A-E9660903A020}"/>
              </a:ext>
            </a:extLst>
          </xdr:cNvPr>
          <xdr:cNvSpPr/>
        </xdr:nvSpPr>
        <xdr:spPr>
          <a:xfrm>
            <a:off x="9029701" y="5267325"/>
            <a:ext cx="3295650" cy="504825"/>
          </a:xfrm>
          <a:prstGeom prst="round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62CECD6E-F012-4DA9-98EF-73C5AF535C08}"/>
              </a:ext>
            </a:extLst>
          </xdr:cNvPr>
          <xdr:cNvSpPr/>
        </xdr:nvSpPr>
        <xdr:spPr>
          <a:xfrm>
            <a:off x="9039226" y="5915025"/>
            <a:ext cx="3295650" cy="504825"/>
          </a:xfrm>
          <a:prstGeom prst="round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</xdr:grpSp>
    <xdr:clientData/>
  </xdr:twoCellAnchor>
  <xdr:oneCellAnchor>
    <xdr:from>
      <xdr:col>14</xdr:col>
      <xdr:colOff>219075</xdr:colOff>
      <xdr:row>21</xdr:row>
      <xdr:rowOff>66675</xdr:rowOff>
    </xdr:from>
    <xdr:ext cx="394335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4EE5EE0-FDDB-4639-92FF-922458E4C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66676</xdr:colOff>
      <xdr:row>36</xdr:row>
      <xdr:rowOff>66675</xdr:rowOff>
    </xdr:from>
    <xdr:ext cx="3876674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40C0ABB-89A0-48AB-923F-32AF61E08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7</xdr:col>
      <xdr:colOff>361950</xdr:colOff>
      <xdr:row>21</xdr:row>
      <xdr:rowOff>71437</xdr:rowOff>
    </xdr:from>
    <xdr:to>
      <xdr:col>14</xdr:col>
      <xdr:colOff>104775</xdr:colOff>
      <xdr:row>35</xdr:row>
      <xdr:rowOff>128587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9E78D3E-1051-1754-1935-F2EBEC8E4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238126</xdr:colOff>
      <xdr:row>21</xdr:row>
      <xdr:rowOff>142874</xdr:rowOff>
    </xdr:from>
    <xdr:to>
      <xdr:col>20</xdr:col>
      <xdr:colOff>409576</xdr:colOff>
      <xdr:row>23</xdr:row>
      <xdr:rowOff>9525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356DCCD-431A-6FC0-207A-AF292A2825C4}"/>
            </a:ext>
          </a:extLst>
        </xdr:cNvPr>
        <xdr:cNvSpPr txBox="1"/>
      </xdr:nvSpPr>
      <xdr:spPr>
        <a:xfrm>
          <a:off x="11210926" y="4181474"/>
          <a:ext cx="1390650" cy="247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800"/>
            <a:t>Addendorf Shop Supervisor</a:t>
          </a:r>
        </a:p>
      </xdr:txBody>
    </xdr:sp>
    <xdr:clientData/>
  </xdr:twoCellAnchor>
  <xdr:twoCellAnchor>
    <xdr:from>
      <xdr:col>16</xdr:col>
      <xdr:colOff>485775</xdr:colOff>
      <xdr:row>21</xdr:row>
      <xdr:rowOff>161925</xdr:rowOff>
    </xdr:from>
    <xdr:to>
      <xdr:col>18</xdr:col>
      <xdr:colOff>228600</xdr:colOff>
      <xdr:row>22</xdr:row>
      <xdr:rowOff>180975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050170C-F0D9-4B32-BDB4-1A861FAC15C0}"/>
            </a:ext>
          </a:extLst>
        </xdr:cNvPr>
        <xdr:cNvSpPr txBox="1"/>
      </xdr:nvSpPr>
      <xdr:spPr>
        <a:xfrm>
          <a:off x="10239375" y="4200525"/>
          <a:ext cx="9620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ZA" sz="1100"/>
            <a:t>Job Search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tt\AppData\Local\Microsoft\Windows\INetCache\Content.Outlook\B6M5GWK1\CandidateDashboard.xlsx" TargetMode="External"/><Relationship Id="rId1" Type="http://schemas.openxmlformats.org/officeDocument/2006/relationships/externalLinkPath" Target="file:///C:\Users\chett\AppData\Local\Microsoft\Windows\INetCache\Content.Outlook\B6M5GWK1\Candidate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 Shortlist candidates"/>
      <sheetName val="Candidate Data"/>
      <sheetName val="Dashboard"/>
      <sheetName val="Candidate Sourcing Plan"/>
      <sheetName val="Talent Pool"/>
    </sheetNames>
    <sheetDataSet>
      <sheetData sheetId="0"/>
      <sheetData sheetId="1">
        <row r="1">
          <cell r="B1" t="str">
            <v>Fit Score</v>
          </cell>
        </row>
        <row r="2">
          <cell r="A2" t="str">
            <v>C1</v>
          </cell>
          <cell r="B2">
            <v>5</v>
          </cell>
        </row>
        <row r="3">
          <cell r="A3" t="str">
            <v>C2</v>
          </cell>
          <cell r="B3">
            <v>5</v>
          </cell>
        </row>
        <row r="4">
          <cell r="A4" t="str">
            <v>C3</v>
          </cell>
          <cell r="B4">
            <v>5</v>
          </cell>
        </row>
        <row r="5">
          <cell r="A5" t="str">
            <v>C4</v>
          </cell>
          <cell r="B5">
            <v>5</v>
          </cell>
        </row>
        <row r="6">
          <cell r="A6" t="str">
            <v>C5</v>
          </cell>
          <cell r="B6">
            <v>4</v>
          </cell>
        </row>
        <row r="7">
          <cell r="A7" t="str">
            <v>C6</v>
          </cell>
          <cell r="B7">
            <v>5</v>
          </cell>
        </row>
        <row r="8">
          <cell r="A8" t="str">
            <v>C7</v>
          </cell>
          <cell r="B8">
            <v>5</v>
          </cell>
        </row>
        <row r="9">
          <cell r="A9" t="str">
            <v>C8</v>
          </cell>
          <cell r="B9">
            <v>5</v>
          </cell>
        </row>
        <row r="10">
          <cell r="A10" t="str">
            <v>C9</v>
          </cell>
          <cell r="B10">
            <v>5</v>
          </cell>
        </row>
        <row r="11">
          <cell r="A11" t="str">
            <v>C10</v>
          </cell>
          <cell r="B11">
            <v>4</v>
          </cell>
        </row>
        <row r="12">
          <cell r="A12" t="str">
            <v>C11</v>
          </cell>
          <cell r="B12">
            <v>4</v>
          </cell>
        </row>
        <row r="13">
          <cell r="A13" t="str">
            <v>C12</v>
          </cell>
          <cell r="B13">
            <v>4</v>
          </cell>
        </row>
        <row r="14">
          <cell r="A14" t="str">
            <v>C13</v>
          </cell>
          <cell r="B14">
            <v>4</v>
          </cell>
        </row>
        <row r="15">
          <cell r="A15" t="str">
            <v>C14</v>
          </cell>
          <cell r="B15">
            <v>4</v>
          </cell>
        </row>
        <row r="16">
          <cell r="A16" t="str">
            <v>C15</v>
          </cell>
          <cell r="B16">
            <v>4</v>
          </cell>
        </row>
        <row r="17">
          <cell r="A17" t="str">
            <v>C16</v>
          </cell>
          <cell r="B17">
            <v>4</v>
          </cell>
        </row>
        <row r="18">
          <cell r="A18" t="str">
            <v>C17</v>
          </cell>
          <cell r="B18">
            <v>4</v>
          </cell>
        </row>
        <row r="19">
          <cell r="A19" t="str">
            <v>C18</v>
          </cell>
          <cell r="B19">
            <v>4</v>
          </cell>
        </row>
        <row r="20">
          <cell r="A20" t="str">
            <v>C19</v>
          </cell>
          <cell r="B20">
            <v>3</v>
          </cell>
        </row>
        <row r="21">
          <cell r="A21" t="str">
            <v>C20</v>
          </cell>
          <cell r="B21">
            <v>4</v>
          </cell>
        </row>
        <row r="22">
          <cell r="A22" t="str">
            <v>C21</v>
          </cell>
          <cell r="B22">
            <v>5</v>
          </cell>
        </row>
        <row r="23">
          <cell r="A23" t="str">
            <v>C22</v>
          </cell>
          <cell r="B23">
            <v>5</v>
          </cell>
        </row>
        <row r="24">
          <cell r="A24" t="str">
            <v>C23</v>
          </cell>
          <cell r="B24">
            <v>4</v>
          </cell>
        </row>
        <row r="25">
          <cell r="A25" t="str">
            <v>C24</v>
          </cell>
          <cell r="B25">
            <v>4</v>
          </cell>
        </row>
        <row r="26">
          <cell r="A26" t="str">
            <v>C25</v>
          </cell>
          <cell r="B26">
            <v>5</v>
          </cell>
        </row>
      </sheetData>
      <sheetData sheetId="2">
        <row r="3">
          <cell r="H3" t="str">
            <v>Count</v>
          </cell>
        </row>
        <row r="4">
          <cell r="G4" t="str">
            <v>Tool &amp; Machinery Retail</v>
          </cell>
          <cell r="H4">
            <v>1</v>
          </cell>
        </row>
        <row r="5">
          <cell r="G5" t="str">
            <v>Hardware Retail</v>
          </cell>
          <cell r="H5">
            <v>5</v>
          </cell>
        </row>
        <row r="6">
          <cell r="G6" t="str">
            <v>Tool Retail</v>
          </cell>
          <cell r="H6">
            <v>1</v>
          </cell>
        </row>
        <row r="7">
          <cell r="G7" t="str">
            <v>Machinery Retail</v>
          </cell>
          <cell r="H7">
            <v>1</v>
          </cell>
        </row>
        <row r="8">
          <cell r="G8" t="str">
            <v>Engineering Supply</v>
          </cell>
          <cell r="H8">
            <v>1</v>
          </cell>
        </row>
        <row r="9">
          <cell r="G9" t="str">
            <v>Industrial Supply</v>
          </cell>
          <cell r="H9">
            <v>1</v>
          </cell>
        </row>
        <row r="10">
          <cell r="G10" t="str">
            <v>Engineering Supplier</v>
          </cell>
          <cell r="H10">
            <v>2</v>
          </cell>
        </row>
        <row r="11">
          <cell r="G11" t="str">
            <v>Industrial Tools Distributor</v>
          </cell>
          <cell r="H11">
            <v>1</v>
          </cell>
        </row>
        <row r="12">
          <cell r="G12" t="str">
            <v>Industrial Supplier</v>
          </cell>
          <cell r="H12">
            <v>1</v>
          </cell>
        </row>
        <row r="13">
          <cell r="G13" t="str">
            <v>Auto Spares Retail</v>
          </cell>
          <cell r="H13">
            <v>2</v>
          </cell>
        </row>
        <row r="14">
          <cell r="G14" t="str">
            <v>Auto Spares</v>
          </cell>
          <cell r="H14">
            <v>2</v>
          </cell>
        </row>
        <row r="15">
          <cell r="G15" t="str">
            <v>Auto Electrical</v>
          </cell>
          <cell r="H15">
            <v>1</v>
          </cell>
        </row>
        <row r="16">
          <cell r="G16" t="str">
            <v>DIY Retail</v>
          </cell>
          <cell r="H16">
            <v>2</v>
          </cell>
        </row>
        <row r="17">
          <cell r="G17" t="str">
            <v>Workshop/Repairs</v>
          </cell>
          <cell r="H17">
            <v>1</v>
          </cell>
        </row>
        <row r="18">
          <cell r="G18" t="str">
            <v>Machinery Repairs</v>
          </cell>
          <cell r="H18">
            <v>1</v>
          </cell>
        </row>
        <row r="19">
          <cell r="G19" t="str">
            <v>Repairs Center</v>
          </cell>
          <cell r="H19">
            <v>1</v>
          </cell>
        </row>
        <row r="20">
          <cell r="G20" t="str">
            <v>Retail Service</v>
          </cell>
          <cell r="H20">
            <v>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D855-4209-4F37-8E6B-1E3366C08075}">
  <dimension ref="Y2:AK26"/>
  <sheetViews>
    <sheetView tabSelected="1" topLeftCell="A21" workbookViewId="0">
      <selection activeCell="Z28" sqref="Z28:Z29"/>
    </sheetView>
  </sheetViews>
  <sheetFormatPr defaultRowHeight="15" x14ac:dyDescent="0.25"/>
  <cols>
    <col min="25" max="25" width="14" bestFit="1" customWidth="1"/>
    <col min="26" max="27" width="11.42578125" bestFit="1" customWidth="1"/>
    <col min="28" max="29" width="10.42578125" bestFit="1" customWidth="1"/>
    <col min="30" max="36" width="11.42578125" bestFit="1" customWidth="1"/>
    <col min="37" max="37" width="10.42578125" bestFit="1" customWidth="1"/>
  </cols>
  <sheetData>
    <row r="2" spans="25:37" x14ac:dyDescent="0.25">
      <c r="Y2" s="11"/>
      <c r="Z2" s="12">
        <v>45658</v>
      </c>
      <c r="AA2" s="12">
        <v>45689</v>
      </c>
      <c r="AB2" s="12">
        <v>45717</v>
      </c>
      <c r="AC2" s="12">
        <v>45748</v>
      </c>
      <c r="AD2" s="12">
        <v>45778</v>
      </c>
      <c r="AE2" s="12">
        <v>45809</v>
      </c>
      <c r="AF2" s="12">
        <v>45839</v>
      </c>
      <c r="AG2" s="12">
        <v>45870</v>
      </c>
      <c r="AH2" s="12">
        <v>45901</v>
      </c>
      <c r="AI2" s="12">
        <v>45931</v>
      </c>
      <c r="AJ2" s="12">
        <v>45962</v>
      </c>
      <c r="AK2" s="13">
        <v>45992</v>
      </c>
    </row>
    <row r="3" spans="25:37" x14ac:dyDescent="0.25">
      <c r="Y3" s="4" t="s">
        <v>0</v>
      </c>
      <c r="Z3" s="8">
        <v>5</v>
      </c>
      <c r="AA3" s="8">
        <v>6</v>
      </c>
      <c r="AB3" s="8">
        <v>3</v>
      </c>
      <c r="AC3" s="8">
        <v>2</v>
      </c>
      <c r="AD3" s="8">
        <v>5</v>
      </c>
      <c r="AE3" s="8">
        <v>7</v>
      </c>
      <c r="AF3" s="8">
        <v>8</v>
      </c>
      <c r="AG3" s="8">
        <v>4</v>
      </c>
      <c r="AH3" s="8">
        <v>5</v>
      </c>
      <c r="AI3" s="8">
        <v>6</v>
      </c>
      <c r="AJ3" s="8">
        <v>7</v>
      </c>
      <c r="AK3" s="5">
        <v>1</v>
      </c>
    </row>
    <row r="4" spans="25:37" x14ac:dyDescent="0.25">
      <c r="Y4" s="4" t="s">
        <v>1</v>
      </c>
      <c r="Z4" s="9">
        <f>+Z3*Z5</f>
        <v>100000</v>
      </c>
      <c r="AA4" s="9">
        <f t="shared" ref="AA4:AK4" si="0">+AA3*AA5</f>
        <v>150000</v>
      </c>
      <c r="AB4" s="9">
        <f t="shared" si="0"/>
        <v>90000</v>
      </c>
      <c r="AC4" s="9">
        <f t="shared" si="0"/>
        <v>40000</v>
      </c>
      <c r="AD4" s="9">
        <f t="shared" si="0"/>
        <v>112500</v>
      </c>
      <c r="AE4" s="9">
        <f t="shared" si="0"/>
        <v>245000</v>
      </c>
      <c r="AF4" s="9">
        <f t="shared" si="0"/>
        <v>240000</v>
      </c>
      <c r="AG4" s="9">
        <f t="shared" si="0"/>
        <v>140000</v>
      </c>
      <c r="AH4" s="9">
        <f t="shared" si="0"/>
        <v>125000</v>
      </c>
      <c r="AI4" s="9">
        <f t="shared" si="0"/>
        <v>156000</v>
      </c>
      <c r="AJ4" s="9">
        <f t="shared" si="0"/>
        <v>196000</v>
      </c>
      <c r="AK4" s="10">
        <f t="shared" si="0"/>
        <v>28000</v>
      </c>
    </row>
    <row r="5" spans="25:37" x14ac:dyDescent="0.25">
      <c r="Y5" s="4" t="s">
        <v>2</v>
      </c>
      <c r="Z5" s="8">
        <v>20000</v>
      </c>
      <c r="AA5" s="8">
        <v>25000</v>
      </c>
      <c r="AB5" s="8">
        <v>30000</v>
      </c>
      <c r="AC5" s="8">
        <v>20000</v>
      </c>
      <c r="AD5" s="8">
        <v>22500</v>
      </c>
      <c r="AE5" s="8">
        <v>35000</v>
      </c>
      <c r="AF5" s="8">
        <v>30000</v>
      </c>
      <c r="AG5" s="8">
        <v>35000</v>
      </c>
      <c r="AH5" s="8">
        <v>25000</v>
      </c>
      <c r="AI5" s="8">
        <v>26000</v>
      </c>
      <c r="AJ5" s="8">
        <v>28000</v>
      </c>
      <c r="AK5" s="5">
        <v>28000</v>
      </c>
    </row>
    <row r="7" spans="25:37" x14ac:dyDescent="0.25">
      <c r="Y7" s="1" t="s">
        <v>7</v>
      </c>
      <c r="Z7" s="1"/>
      <c r="AB7" s="1" t="s">
        <v>9</v>
      </c>
      <c r="AC7" s="1"/>
    </row>
    <row r="8" spans="25:37" x14ac:dyDescent="0.25">
      <c r="Y8" s="2" t="s">
        <v>3</v>
      </c>
      <c r="Z8" s="3">
        <v>90</v>
      </c>
      <c r="AB8" s="2" t="s">
        <v>14</v>
      </c>
      <c r="AC8" s="3">
        <v>2</v>
      </c>
    </row>
    <row r="9" spans="25:37" x14ac:dyDescent="0.25">
      <c r="Y9" s="4" t="s">
        <v>4</v>
      </c>
      <c r="Z9" s="5">
        <v>5</v>
      </c>
      <c r="AB9" s="4" t="s">
        <v>13</v>
      </c>
      <c r="AC9" s="5">
        <v>5</v>
      </c>
    </row>
    <row r="10" spans="25:37" x14ac:dyDescent="0.25">
      <c r="Y10" s="4" t="s">
        <v>5</v>
      </c>
      <c r="Z10" s="5">
        <v>24</v>
      </c>
      <c r="AB10" s="4" t="s">
        <v>15</v>
      </c>
      <c r="AC10" s="5">
        <v>24</v>
      </c>
    </row>
    <row r="11" spans="25:37" x14ac:dyDescent="0.25">
      <c r="Y11" s="4" t="s">
        <v>6</v>
      </c>
      <c r="Z11" s="5">
        <v>24</v>
      </c>
      <c r="AB11" s="4" t="s">
        <v>12</v>
      </c>
      <c r="AC11" s="5">
        <v>10</v>
      </c>
    </row>
    <row r="12" spans="25:37" ht="15.75" thickBot="1" x14ac:dyDescent="0.3">
      <c r="Y12" s="6" t="s">
        <v>8</v>
      </c>
      <c r="Z12" s="7">
        <f>SUM(Z8:Z11)</f>
        <v>143</v>
      </c>
      <c r="AB12" s="4" t="s">
        <v>11</v>
      </c>
      <c r="AC12" s="5">
        <v>65</v>
      </c>
    </row>
    <row r="13" spans="25:37" ht="15.75" thickTop="1" x14ac:dyDescent="0.25">
      <c r="AB13" s="4" t="s">
        <v>10</v>
      </c>
      <c r="AC13" s="5">
        <v>200</v>
      </c>
    </row>
    <row r="14" spans="25:37" ht="15.75" thickBot="1" x14ac:dyDescent="0.3">
      <c r="AB14" s="6" t="s">
        <v>8</v>
      </c>
      <c r="AC14" s="7">
        <f>SUM(AC8:AC13)</f>
        <v>306</v>
      </c>
    </row>
    <row r="15" spans="25:37" ht="15.75" thickTop="1" x14ac:dyDescent="0.25"/>
    <row r="17" spans="26:27" x14ac:dyDescent="0.25">
      <c r="Z17" s="11" t="s">
        <v>16</v>
      </c>
      <c r="AA17" s="14"/>
    </row>
    <row r="18" spans="26:27" x14ac:dyDescent="0.25">
      <c r="Z18" s="16">
        <v>1</v>
      </c>
      <c r="AA18" s="5">
        <v>2</v>
      </c>
    </row>
    <row r="19" spans="26:27" x14ac:dyDescent="0.25">
      <c r="Z19" s="16">
        <v>2</v>
      </c>
      <c r="AA19" s="5">
        <v>3</v>
      </c>
    </row>
    <row r="20" spans="26:27" x14ac:dyDescent="0.25">
      <c r="Z20" s="16">
        <v>3</v>
      </c>
      <c r="AA20" s="5">
        <v>30</v>
      </c>
    </row>
    <row r="21" spans="26:27" x14ac:dyDescent="0.25">
      <c r="Z21" s="16">
        <v>4</v>
      </c>
      <c r="AA21" s="5">
        <v>92</v>
      </c>
    </row>
    <row r="22" spans="26:27" x14ac:dyDescent="0.25">
      <c r="Z22" s="16">
        <v>5</v>
      </c>
      <c r="AA22" s="5">
        <v>152</v>
      </c>
    </row>
    <row r="23" spans="26:27" x14ac:dyDescent="0.25">
      <c r="Z23" s="16">
        <v>6</v>
      </c>
      <c r="AA23" s="5">
        <v>27</v>
      </c>
    </row>
    <row r="24" spans="26:27" ht="15.75" thickBot="1" x14ac:dyDescent="0.3">
      <c r="Z24" s="6" t="s">
        <v>8</v>
      </c>
      <c r="AA24" s="7">
        <f>SUM(AA18:AA23)</f>
        <v>306</v>
      </c>
    </row>
    <row r="25" spans="26:27" ht="15.75" thickTop="1" x14ac:dyDescent="0.25">
      <c r="Z25" s="15"/>
      <c r="AA25" s="5"/>
    </row>
    <row r="26" spans="26:27" x14ac:dyDescent="0.25">
      <c r="Z26" s="15"/>
      <c r="AA26" s="5"/>
    </row>
  </sheetData>
  <sortState xmlns:xlrd2="http://schemas.microsoft.com/office/spreadsheetml/2017/richdata2" ref="AB8:AC13">
    <sortCondition ref="AC8:AC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 Maherry</dc:creator>
  <cp:lastModifiedBy>Chett Maherry</cp:lastModifiedBy>
  <dcterms:created xsi:type="dcterms:W3CDTF">2025-11-26T08:35:44Z</dcterms:created>
  <dcterms:modified xsi:type="dcterms:W3CDTF">2025-11-26T11:01:50Z</dcterms:modified>
</cp:coreProperties>
</file>